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pi.box.com/wopi/files/2272336002742/WOPIServiceId_TP_BOX_2/WOPIUserId_-/"/>
    </mc:Choice>
  </mc:AlternateContent>
  <xr:revisionPtr revIDLastSave="489" documentId="11_F25DC773A252ABDACC1048C8B95A4C925BDE58F3" xr6:coauthVersionLast="47" xr6:coauthVersionMax="47" xr10:uidLastSave="{CF06D780-D3CE-4171-8824-1BA5B758C13F}"/>
  <bookViews>
    <workbookView xWindow="28680" yWindow="-120" windowWidth="29040" windowHeight="15720" xr2:uid="{00000000-000D-0000-FFFF-FFFF00000000}"/>
  </bookViews>
  <sheets>
    <sheet name="Cost Analysis" sheetId="4" r:id="rId1"/>
    <sheet name="Hub General" sheetId="3" r:id="rId2"/>
    <sheet name="VerticalForaging" sheetId="1" r:id="rId3"/>
    <sheet name="piHa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4" l="1"/>
  <c r="L12" i="4"/>
  <c r="I2" i="4"/>
  <c r="I4" i="4" s="1"/>
  <c r="I3" i="4"/>
  <c r="D7" i="2"/>
  <c r="D8" i="2"/>
  <c r="F3" i="4"/>
  <c r="B6" i="3"/>
  <c r="D5" i="2"/>
  <c r="B9" i="4"/>
  <c r="D3" i="2"/>
  <c r="D2" i="2"/>
  <c r="B4" i="1"/>
  <c r="B12" i="4"/>
  <c r="B8" i="4"/>
  <c r="I2" i="3" l="1"/>
  <c r="B17" i="4" s="1"/>
  <c r="F2" i="4" s="1"/>
  <c r="F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Jemin Kachhadiya</author>
  </authors>
  <commentList>
    <comment ref="C1" authorId="0" shapeId="0" xr:uid="{58820487-7CFD-4815-B934-10B8BD502644}">
      <text>
        <r>
          <rPr>
            <b/>
            <sz val="9"/>
            <color indexed="81"/>
            <rFont val="Tahoma"/>
            <family val="2"/>
          </rPr>
          <t>Jemin Kachhadiya:</t>
        </r>
        <r>
          <rPr>
            <sz val="9"/>
            <color indexed="81"/>
            <rFont val="Tahoma"/>
            <family val="2"/>
          </rPr>
          <t xml:space="preserve">
For, 30 VFM and 4 Base Station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Jemin Kachhadiya</author>
  </authors>
  <commentList>
    <comment ref="G7" authorId="0" shapeId="0" xr:uid="{91DDD873-5A92-4598-B53B-F39495E5621C}">
      <text>
        <r>
          <rPr>
            <b/>
            <sz val="9"/>
            <color indexed="81"/>
            <rFont val="Tahoma"/>
            <family val="2"/>
          </rPr>
          <t>Jemin Kachhadiya:</t>
        </r>
        <r>
          <rPr>
            <sz val="9"/>
            <color indexed="81"/>
            <rFont val="Tahoma"/>
            <family val="2"/>
          </rPr>
          <t xml:space="preserve">
I'm looking for 16GB RAM version.
</t>
        </r>
      </text>
    </comment>
  </commentList>
</comments>
</file>

<file path=xl/sharedStrings.xml><?xml version="1.0" encoding="utf-8"?>
<sst xmlns="http://schemas.openxmlformats.org/spreadsheetml/2006/main" count="160" uniqueCount="136">
  <si>
    <t>Type</t>
  </si>
  <si>
    <t>Cost</t>
  </si>
  <si>
    <t>Note</t>
  </si>
  <si>
    <t>First batch of 5 for VFM</t>
  </si>
  <si>
    <t>Qty. 30 of VFM</t>
  </si>
  <si>
    <t>PCB for CAN HAT</t>
  </si>
  <si>
    <t>PCBA VFM</t>
  </si>
  <si>
    <t>Item</t>
  </si>
  <si>
    <t>Price</t>
  </si>
  <si>
    <t>Usage</t>
  </si>
  <si>
    <t>wiring</t>
  </si>
  <si>
    <t>Marketplace</t>
  </si>
  <si>
    <t>Ethernet cable</t>
  </si>
  <si>
    <t>Raspberry pi</t>
  </si>
  <si>
    <t>3D Filament</t>
  </si>
  <si>
    <t>Acrylic</t>
  </si>
  <si>
    <t>Motors</t>
  </si>
  <si>
    <t>Screws</t>
  </si>
  <si>
    <t>DC power cable</t>
  </si>
  <si>
    <t>Parts for CAN HAT (worth to PCBA)</t>
  </si>
  <si>
    <t>https://www.microcenter.com/product/702590/raspberry-pi-5</t>
  </si>
  <si>
    <t>Qty.</t>
  </si>
  <si>
    <t>Base station</t>
  </si>
  <si>
    <t>Total Cost</t>
  </si>
  <si>
    <t>Power supply for pi</t>
  </si>
  <si>
    <t>Power</t>
  </si>
  <si>
    <t>https://a.co/d/03vkXWGH</t>
  </si>
  <si>
    <t>Pi Power and cooler</t>
  </si>
  <si>
    <t>Docking station</t>
  </si>
  <si>
    <t>For desk</t>
  </si>
  <si>
    <t>https://a.co/d/07s29nJl</t>
  </si>
  <si>
    <t>Hub General</t>
  </si>
  <si>
    <t>Header Extender</t>
  </si>
  <si>
    <t>https://a.co/d/05PbDtE7</t>
  </si>
  <si>
    <t>Cooler</t>
  </si>
  <si>
    <t>https://a.co/d/08atDlD6</t>
  </si>
  <si>
    <t>Power supply</t>
  </si>
  <si>
    <t>https://a.co/d/0cHJypZE</t>
  </si>
  <si>
    <t>JBC C115105</t>
  </si>
  <si>
    <t>Qty. 2</t>
  </si>
  <si>
    <t>Fine tip for backup</t>
  </si>
  <si>
    <t>Tip for tweezer</t>
  </si>
  <si>
    <t>Cost link to the Hub General sheet</t>
  </si>
  <si>
    <t>Caliper</t>
  </si>
  <si>
    <t>Digital caliper</t>
  </si>
  <si>
    <t>https://a.co/d/0f11Bh60</t>
  </si>
  <si>
    <t>3mm drill bit</t>
  </si>
  <si>
    <t>Drill bit</t>
  </si>
  <si>
    <t>https://a.co/d/0bJEs9ge</t>
  </si>
  <si>
    <t>Precision drill bit</t>
  </si>
  <si>
    <t>https://a.co/d/00RdSovD</t>
  </si>
  <si>
    <t>White PLA</t>
  </si>
  <si>
    <t>Stocking</t>
  </si>
  <si>
    <t>https://a.co/d/0h9pkCtd</t>
  </si>
  <si>
    <t>https://www.tequipment.net/JBC/C115105/Tips/?v=0</t>
  </si>
  <si>
    <t>https://www.tequipment.net/JBC/C115-TIP-KIT/Tips/?v=0</t>
  </si>
  <si>
    <t>4 pi boards</t>
  </si>
  <si>
    <t>Aluminum Extrusion + Brackets</t>
  </si>
  <si>
    <t>To support behavior boxes</t>
  </si>
  <si>
    <t>Budget</t>
  </si>
  <si>
    <t>Remaining</t>
  </si>
  <si>
    <t>Total</t>
  </si>
  <si>
    <t>Wiring</t>
  </si>
  <si>
    <t>Ethernet and Power cables</t>
  </si>
  <si>
    <t>Other PCBs</t>
  </si>
  <si>
    <t>Photogates, any sub module</t>
  </si>
  <si>
    <t>PCB Components</t>
  </si>
  <si>
    <t>SendCutSend</t>
  </si>
  <si>
    <t>Metal Cap Touch pads</t>
  </si>
  <si>
    <t>Anti-chew resin/metal parts</t>
  </si>
  <si>
    <t>Keyboard</t>
  </si>
  <si>
    <t>https://a.co/d/06HkCOwA</t>
  </si>
  <si>
    <t>28BYJ-48 Motors</t>
  </si>
  <si>
    <t>https://a.co/d/07NI8Ce2</t>
  </si>
  <si>
    <t>6pcs</t>
  </si>
  <si>
    <t>drive</t>
  </si>
  <si>
    <t>Pi Kit</t>
  </si>
  <si>
    <t>https://a.co/d/05suoWQt</t>
  </si>
  <si>
    <t>comes w/ cooler and PSU</t>
  </si>
  <si>
    <t>Base to cage</t>
  </si>
  <si>
    <t>https://a.co/d/003clznl</t>
  </si>
  <si>
    <t>10ft, 5pack</t>
  </si>
  <si>
    <t>https://a.co/d/00HqSPSU</t>
  </si>
  <si>
    <t>3ft, 24pack</t>
  </si>
  <si>
    <t>https://a.co/d/0gsEHh0D</t>
  </si>
  <si>
    <t>3ft, 6pcs</t>
  </si>
  <si>
    <t>&lt;- all white!</t>
  </si>
  <si>
    <t>Main PSU for modules</t>
  </si>
  <si>
    <t>https://a.co/d/02GKY84I</t>
  </si>
  <si>
    <t>12V, 8A, barrel plug</t>
  </si>
  <si>
    <t>Raspberry pi 5 16GB</t>
  </si>
  <si>
    <t>I would wait for this order if go with the Canakit to measure the height of that cooler.</t>
  </si>
  <si>
    <t xml:space="preserve"> Spent</t>
  </si>
  <si>
    <t>Orders</t>
  </si>
  <si>
    <t>PCBA 6-19</t>
  </si>
  <si>
    <t>JBC C115 113</t>
  </si>
  <si>
    <t>Digikey 6-19</t>
  </si>
  <si>
    <t>Amazon 6-12</t>
  </si>
  <si>
    <t>Hub General 6-12</t>
  </si>
  <si>
    <t>Pi kit, wires, motors and headers</t>
  </si>
  <si>
    <t>PEI plate</t>
  </si>
  <si>
    <t>X1C printer</t>
  </si>
  <si>
    <t>https://a.co/d/0dKIXQPl</t>
  </si>
  <si>
    <t>Amazon 6-22</t>
  </si>
  <si>
    <t>PEI plate for bambu</t>
  </si>
  <si>
    <t>Amazon 7-13</t>
  </si>
  <si>
    <t>standoffs and headers</t>
  </si>
  <si>
    <t>Digikey 7-13</t>
  </si>
  <si>
    <t>3.3v regulator</t>
  </si>
  <si>
    <t>isolator</t>
  </si>
  <si>
    <t>PCBA 7-15</t>
  </si>
  <si>
    <t>VFM 6 and Base station 5</t>
  </si>
  <si>
    <t>Photo gate breakout 90 pcs</t>
  </si>
  <si>
    <t>we might support the entire build as part of the modules</t>
  </si>
  <si>
    <t>Touch sensing PCB</t>
  </si>
  <si>
    <t>PCB 7-16</t>
  </si>
  <si>
    <t>Digikey 7-17</t>
  </si>
  <si>
    <t>QT cables 20 pcs</t>
  </si>
  <si>
    <t>Amazon 7-21</t>
  </si>
  <si>
    <t>Rpi Canakit + standoffs and headers</t>
  </si>
  <si>
    <t>light pipe</t>
  </si>
  <si>
    <t>LED</t>
  </si>
  <si>
    <t>https://www.digikey.com/en/products/detail/bivar-inc/PLP1-625-F/586485</t>
  </si>
  <si>
    <t>McMaster 7-27</t>
  </si>
  <si>
    <t>Hardware for VFM</t>
  </si>
  <si>
    <t>Amazon 8-17</t>
  </si>
  <si>
    <t>Ethernet wire mount for ABC</t>
  </si>
  <si>
    <t>80/20 Inc. 9-4</t>
  </si>
  <si>
    <t>Aluminium Extruder</t>
  </si>
  <si>
    <t>Bioserv 8-21</t>
  </si>
  <si>
    <t>Sugar pellets</t>
  </si>
  <si>
    <t>Amazon</t>
  </si>
  <si>
    <t>Vacuums</t>
  </si>
  <si>
    <t>Consumable</t>
  </si>
  <si>
    <t>Hardware for ABC box</t>
  </si>
  <si>
    <t>Acrylic, Extrusion, Screws and Taper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</si>
</sst>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0" fontId="3" fillId="0" borderId="0" xfId="2"/>
    <xf numFmtId="0" fontId="2" fillId="0" borderId="0" xfId="0" applyFont="1"/>
    <xf numFmtId="44" fontId="2" fillId="0" borderId="0" xfId="1" applyFont="1"/>
    <xf numFmtId="4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2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44" fontId="2" fillId="0" borderId="0" xfId="0" applyNumberFormat="1" applyFont="1"/>
    <xf numFmtId="0" fontId="2" fillId="2" borderId="0" xfId="0" applyFont="1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.co/d/0dKIXQPl" TargetMode="External"/><Relationship Id="rId3" Type="http://schemas.openxmlformats.org/officeDocument/2006/relationships/hyperlink" Target="https://a.co/d/0f11Bh60" TargetMode="External"/><Relationship Id="rId7" Type="http://schemas.openxmlformats.org/officeDocument/2006/relationships/hyperlink" Target="https://www.tequipment.net/JBC/C115105/Tips/?v=0" TargetMode="External"/><Relationship Id="rId2" Type="http://schemas.openxmlformats.org/officeDocument/2006/relationships/hyperlink" Target="https://a.co/d/0cHJypZE" TargetMode="External"/><Relationship Id="rId1" Type="http://schemas.openxmlformats.org/officeDocument/2006/relationships/hyperlink" Target="https://a.co/d/07s29nJl" TargetMode="External"/><Relationship Id="rId6" Type="http://schemas.openxmlformats.org/officeDocument/2006/relationships/hyperlink" Target="https://a.co/d/0h9pkCtd" TargetMode="External"/><Relationship Id="rId5" Type="http://schemas.openxmlformats.org/officeDocument/2006/relationships/hyperlink" Target="https://a.co/d/00RdSovD" TargetMode="External"/><Relationship Id="rId4" Type="http://schemas.openxmlformats.org/officeDocument/2006/relationships/hyperlink" Target="https://a.co/d/0bJEs9g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.co/d/02GKY84I" TargetMode="External"/><Relationship Id="rId2" Type="http://schemas.openxmlformats.org/officeDocument/2006/relationships/hyperlink" Target="https://a.co/d/07NI8Ce2" TargetMode="External"/><Relationship Id="rId1" Type="http://schemas.openxmlformats.org/officeDocument/2006/relationships/hyperlink" Target="https://a.co/d/00HqSPSU" TargetMode="External"/><Relationship Id="rId6" Type="http://schemas.openxmlformats.org/officeDocument/2006/relationships/hyperlink" Target="https://www.digikey.com/en/products/detail/bivar-inc/PLP1-625-F/586485" TargetMode="External"/><Relationship Id="rId5" Type="http://schemas.openxmlformats.org/officeDocument/2006/relationships/hyperlink" Target="https://a.co/d/0gsEHh0D" TargetMode="External"/><Relationship Id="rId4" Type="http://schemas.openxmlformats.org/officeDocument/2006/relationships/hyperlink" Target="https://a.co/d/003clzn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https://a.co/d/05PbDtE7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https://a.co/d/03vkXWGH" TargetMode="External"/><Relationship Id="rId1" Type="http://schemas.openxmlformats.org/officeDocument/2006/relationships/hyperlink" Target="https://www.microcenter.com/product/702590/raspberry-pi-5" TargetMode="External"/><Relationship Id="rId6" Type="http://schemas.openxmlformats.org/officeDocument/2006/relationships/hyperlink" Target="https://a.co/d/05suoWQt" TargetMode="External"/><Relationship Id="rId5" Type="http://schemas.openxmlformats.org/officeDocument/2006/relationships/hyperlink" Target="https://a.co/d/06HkCOwA" TargetMode="External"/><Relationship Id="rId4" Type="http://schemas.openxmlformats.org/officeDocument/2006/relationships/hyperlink" Target="https://a.co/d/08atDlD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C525-AE9E-4487-AA00-99FA1D202500}">
  <dimension ref="A1:M19"/>
  <sheetViews>
    <sheetView tabSelected="1" workbookViewId="0">
      <selection activeCell="I24" sqref="I24"/>
    </sheetView>
  </sheetViews>
  <sheetFormatPr defaultRowHeight="14.4" x14ac:dyDescent="0.3"/>
  <cols>
    <col min="1" max="1" width="27.109375" customWidth="1"/>
    <col min="2" max="2" width="14.5546875" style="1" customWidth="1"/>
    <col min="3" max="3" width="26.6640625" customWidth="1"/>
    <col min="5" max="5" width="11.21875" style="4" bestFit="1" customWidth="1"/>
    <col min="6" max="6" width="11.44140625" style="4" customWidth="1"/>
    <col min="7" max="7" width="2.5546875" customWidth="1"/>
    <col min="8" max="8" width="11.21875" bestFit="1" customWidth="1"/>
    <col min="9" max="9" width="11.44140625" bestFit="1" customWidth="1"/>
    <col min="10" max="10" width="4.5546875" customWidth="1"/>
    <col min="11" max="11" width="15.21875" bestFit="1" customWidth="1"/>
    <col min="12" max="12" width="8.88671875" style="1"/>
    <col min="13" max="13" width="27.6640625" bestFit="1" customWidth="1"/>
  </cols>
  <sheetData>
    <row r="1" spans="1:13" x14ac:dyDescent="0.3">
      <c r="A1" s="3" t="s">
        <v>0</v>
      </c>
      <c r="B1" s="4" t="s">
        <v>1</v>
      </c>
      <c r="C1" s="3" t="s">
        <v>2</v>
      </c>
      <c r="K1" s="3" t="s">
        <v>93</v>
      </c>
      <c r="L1" s="4" t="s">
        <v>1</v>
      </c>
      <c r="M1" t="s">
        <v>2</v>
      </c>
    </row>
    <row r="2" spans="1:13" x14ac:dyDescent="0.3">
      <c r="A2" t="s">
        <v>6</v>
      </c>
      <c r="B2" s="1">
        <v>360</v>
      </c>
      <c r="C2" t="s">
        <v>3</v>
      </c>
      <c r="E2" s="4" t="s">
        <v>61</v>
      </c>
      <c r="F2" s="4">
        <f>SUM(B2:B252)</f>
        <v>8720</v>
      </c>
      <c r="H2" s="11" t="s">
        <v>92</v>
      </c>
      <c r="I2" s="10">
        <f>SUM(L2:L252)</f>
        <v>3121</v>
      </c>
      <c r="K2" t="s">
        <v>94</v>
      </c>
      <c r="L2" s="1">
        <v>520</v>
      </c>
      <c r="M2" t="s">
        <v>111</v>
      </c>
    </row>
    <row r="3" spans="1:13" x14ac:dyDescent="0.3">
      <c r="A3" t="s">
        <v>6</v>
      </c>
      <c r="B3" s="1">
        <v>1200</v>
      </c>
      <c r="C3" t="s">
        <v>4</v>
      </c>
      <c r="E3" s="4" t="s">
        <v>59</v>
      </c>
      <c r="F3" s="4">
        <f>5000+3000+3000</f>
        <v>11000</v>
      </c>
      <c r="H3" s="4" t="s">
        <v>59</v>
      </c>
      <c r="I3" s="4">
        <f>5000+3000+3000</f>
        <v>11000</v>
      </c>
      <c r="K3" t="s">
        <v>98</v>
      </c>
      <c r="L3" s="1">
        <v>404</v>
      </c>
    </row>
    <row r="4" spans="1:13" x14ac:dyDescent="0.3">
      <c r="A4" t="s">
        <v>5</v>
      </c>
      <c r="B4" s="1">
        <v>80</v>
      </c>
      <c r="E4" s="4" t="s">
        <v>60</v>
      </c>
      <c r="F4" s="4">
        <f>F3-F2</f>
        <v>2280</v>
      </c>
      <c r="H4" s="4" t="s">
        <v>60</v>
      </c>
      <c r="I4" s="10">
        <f>I3-I2</f>
        <v>7879</v>
      </c>
      <c r="K4" t="s">
        <v>97</v>
      </c>
      <c r="L4" s="1">
        <v>400</v>
      </c>
      <c r="M4" t="s">
        <v>99</v>
      </c>
    </row>
    <row r="5" spans="1:13" x14ac:dyDescent="0.3">
      <c r="A5" t="s">
        <v>64</v>
      </c>
      <c r="B5" s="1">
        <v>600</v>
      </c>
      <c r="C5" t="s">
        <v>65</v>
      </c>
      <c r="K5" t="s">
        <v>96</v>
      </c>
      <c r="L5" s="1">
        <v>50</v>
      </c>
      <c r="M5" t="s">
        <v>109</v>
      </c>
    </row>
    <row r="6" spans="1:13" x14ac:dyDescent="0.3">
      <c r="A6" t="s">
        <v>66</v>
      </c>
      <c r="B6" s="1">
        <v>600</v>
      </c>
      <c r="C6" t="s">
        <v>19</v>
      </c>
      <c r="K6" t="s">
        <v>103</v>
      </c>
      <c r="L6" s="1">
        <v>16</v>
      </c>
      <c r="M6" t="s">
        <v>104</v>
      </c>
    </row>
    <row r="7" spans="1:13" x14ac:dyDescent="0.3">
      <c r="A7" t="s">
        <v>62</v>
      </c>
      <c r="B7" s="1">
        <v>400</v>
      </c>
      <c r="C7" t="s">
        <v>63</v>
      </c>
      <c r="K7" t="s">
        <v>105</v>
      </c>
      <c r="L7" s="1">
        <v>18</v>
      </c>
      <c r="M7" t="s">
        <v>106</v>
      </c>
    </row>
    <row r="8" spans="1:13" x14ac:dyDescent="0.3">
      <c r="A8" t="s">
        <v>13</v>
      </c>
      <c r="B8" s="1">
        <f>320*4</f>
        <v>1280</v>
      </c>
      <c r="C8" t="s">
        <v>56</v>
      </c>
      <c r="K8" t="s">
        <v>107</v>
      </c>
      <c r="L8" s="1">
        <v>20</v>
      </c>
      <c r="M8" t="s">
        <v>108</v>
      </c>
    </row>
    <row r="9" spans="1:13" x14ac:dyDescent="0.3">
      <c r="A9" t="s">
        <v>27</v>
      </c>
      <c r="B9" s="1">
        <f>4*30</f>
        <v>120</v>
      </c>
      <c r="K9" t="s">
        <v>110</v>
      </c>
      <c r="L9" s="1">
        <v>337</v>
      </c>
      <c r="M9" t="s">
        <v>112</v>
      </c>
    </row>
    <row r="10" spans="1:13" x14ac:dyDescent="0.3">
      <c r="A10" t="s">
        <v>14</v>
      </c>
      <c r="B10" s="1">
        <v>360</v>
      </c>
      <c r="K10" t="s">
        <v>115</v>
      </c>
      <c r="L10" s="1">
        <v>100</v>
      </c>
      <c r="M10" t="s">
        <v>114</v>
      </c>
    </row>
    <row r="11" spans="1:13" x14ac:dyDescent="0.3">
      <c r="A11" t="s">
        <v>15</v>
      </c>
      <c r="B11" s="1">
        <v>1000</v>
      </c>
      <c r="C11" t="s">
        <v>113</v>
      </c>
      <c r="K11" t="s">
        <v>116</v>
      </c>
      <c r="L11" s="1">
        <v>40</v>
      </c>
      <c r="M11" t="s">
        <v>117</v>
      </c>
    </row>
    <row r="12" spans="1:13" x14ac:dyDescent="0.3">
      <c r="A12" t="s">
        <v>16</v>
      </c>
      <c r="B12" s="1">
        <f>5*60</f>
        <v>300</v>
      </c>
      <c r="K12" t="s">
        <v>118</v>
      </c>
      <c r="L12" s="1">
        <f>220+25</f>
        <v>245</v>
      </c>
      <c r="M12" t="s">
        <v>119</v>
      </c>
    </row>
    <row r="13" spans="1:13" x14ac:dyDescent="0.3">
      <c r="A13" t="s">
        <v>17</v>
      </c>
      <c r="B13" s="1">
        <v>100</v>
      </c>
      <c r="K13" t="s">
        <v>123</v>
      </c>
      <c r="L13" s="1">
        <f>220+10</f>
        <v>230</v>
      </c>
      <c r="M13" t="s">
        <v>124</v>
      </c>
    </row>
    <row r="14" spans="1:13" x14ac:dyDescent="0.3">
      <c r="A14" t="s">
        <v>67</v>
      </c>
      <c r="B14" s="1">
        <v>300</v>
      </c>
      <c r="C14" t="s">
        <v>68</v>
      </c>
      <c r="K14" t="s">
        <v>125</v>
      </c>
      <c r="L14" s="1">
        <v>10</v>
      </c>
      <c r="M14" t="s">
        <v>126</v>
      </c>
    </row>
    <row r="15" spans="1:13" x14ac:dyDescent="0.3">
      <c r="A15" t="s">
        <v>57</v>
      </c>
      <c r="B15" s="1">
        <v>1000</v>
      </c>
      <c r="C15" t="s">
        <v>58</v>
      </c>
      <c r="K15" t="s">
        <v>131</v>
      </c>
      <c r="L15" s="1">
        <v>100</v>
      </c>
      <c r="M15" t="s">
        <v>132</v>
      </c>
    </row>
    <row r="16" spans="1:13" x14ac:dyDescent="0.3">
      <c r="A16" t="s">
        <v>69</v>
      </c>
      <c r="B16" s="1">
        <v>600</v>
      </c>
      <c r="K16" t="s">
        <v>129</v>
      </c>
      <c r="L16" s="1">
        <v>260</v>
      </c>
      <c r="M16" t="s">
        <v>130</v>
      </c>
    </row>
    <row r="17" spans="1:13" x14ac:dyDescent="0.3">
      <c r="A17" t="s">
        <v>31</v>
      </c>
      <c r="B17" s="1">
        <f>'Hub General'!I2</f>
        <v>420</v>
      </c>
      <c r="C17" t="s">
        <v>42</v>
      </c>
      <c r="K17" t="s">
        <v>127</v>
      </c>
      <c r="L17" s="1">
        <v>51</v>
      </c>
      <c r="M17" t="s">
        <v>128</v>
      </c>
    </row>
    <row r="18" spans="1:13" x14ac:dyDescent="0.3">
      <c r="K18" t="s">
        <v>15</v>
      </c>
      <c r="L18" s="1">
        <v>100</v>
      </c>
      <c r="M18" t="s">
        <v>133</v>
      </c>
    </row>
    <row r="19" spans="1:13" x14ac:dyDescent="0.3">
      <c r="K19" t="s">
        <v>134</v>
      </c>
      <c r="L19" s="1">
        <v>220</v>
      </c>
      <c r="M19" t="s">
        <v>135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187A-97ED-4720-80ED-5DB102A4AFFA}">
  <dimension ref="A1:I11"/>
  <sheetViews>
    <sheetView workbookViewId="0">
      <selection activeCell="B12" sqref="B12"/>
    </sheetView>
  </sheetViews>
  <sheetFormatPr defaultRowHeight="14.4" x14ac:dyDescent="0.3"/>
  <cols>
    <col min="1" max="1" width="12.77734375" bestFit="1" customWidth="1"/>
    <col min="2" max="2" width="10.5546875" style="1" bestFit="1" customWidth="1"/>
    <col min="3" max="3" width="17.33203125" customWidth="1"/>
    <col min="4" max="4" width="23.21875" customWidth="1"/>
    <col min="8" max="8" width="9.77734375" customWidth="1"/>
  </cols>
  <sheetData>
    <row r="1" spans="1:9" x14ac:dyDescent="0.3">
      <c r="A1" s="3" t="s">
        <v>7</v>
      </c>
      <c r="B1" s="4" t="s">
        <v>8</v>
      </c>
      <c r="C1" s="3" t="s">
        <v>9</v>
      </c>
      <c r="D1" s="3" t="s">
        <v>11</v>
      </c>
      <c r="E1" s="3" t="s">
        <v>2</v>
      </c>
    </row>
    <row r="2" spans="1:9" x14ac:dyDescent="0.3">
      <c r="A2" t="s">
        <v>28</v>
      </c>
      <c r="B2" s="1">
        <v>26</v>
      </c>
      <c r="C2" t="s">
        <v>29</v>
      </c>
      <c r="D2" s="2" t="s">
        <v>30</v>
      </c>
      <c r="H2" s="3" t="s">
        <v>23</v>
      </c>
      <c r="I2" s="5">
        <f>SUM(B2:B248)</f>
        <v>420</v>
      </c>
    </row>
    <row r="3" spans="1:9" x14ac:dyDescent="0.3">
      <c r="A3" t="s">
        <v>36</v>
      </c>
      <c r="B3" s="1">
        <v>19</v>
      </c>
      <c r="C3" t="s">
        <v>29</v>
      </c>
      <c r="D3" s="2" t="s">
        <v>37</v>
      </c>
    </row>
    <row r="4" spans="1:9" x14ac:dyDescent="0.3">
      <c r="A4" t="s">
        <v>38</v>
      </c>
      <c r="B4" s="1">
        <v>100</v>
      </c>
      <c r="C4" t="s">
        <v>41</v>
      </c>
      <c r="D4" s="2" t="s">
        <v>54</v>
      </c>
      <c r="E4" t="s">
        <v>39</v>
      </c>
    </row>
    <row r="5" spans="1:9" x14ac:dyDescent="0.3">
      <c r="A5" t="s">
        <v>95</v>
      </c>
      <c r="B5" s="1">
        <v>100</v>
      </c>
      <c r="C5" t="s">
        <v>40</v>
      </c>
      <c r="D5" s="2" t="s">
        <v>55</v>
      </c>
    </row>
    <row r="6" spans="1:9" x14ac:dyDescent="0.3">
      <c r="A6" t="s">
        <v>43</v>
      </c>
      <c r="B6" s="1">
        <f>2*45</f>
        <v>90</v>
      </c>
      <c r="C6" t="s">
        <v>44</v>
      </c>
      <c r="D6" s="2" t="s">
        <v>45</v>
      </c>
    </row>
    <row r="7" spans="1:9" x14ac:dyDescent="0.3">
      <c r="A7" t="s">
        <v>46</v>
      </c>
      <c r="B7" s="1">
        <v>6</v>
      </c>
      <c r="C7" t="s">
        <v>47</v>
      </c>
      <c r="D7" s="2" t="s">
        <v>48</v>
      </c>
    </row>
    <row r="8" spans="1:9" x14ac:dyDescent="0.3">
      <c r="A8" t="s">
        <v>49</v>
      </c>
      <c r="B8" s="1">
        <v>17</v>
      </c>
      <c r="C8" t="s">
        <v>47</v>
      </c>
      <c r="D8" s="2" t="s">
        <v>50</v>
      </c>
    </row>
    <row r="9" spans="1:9" x14ac:dyDescent="0.3">
      <c r="A9" t="s">
        <v>51</v>
      </c>
      <c r="B9" s="1">
        <v>46</v>
      </c>
      <c r="C9" t="s">
        <v>52</v>
      </c>
      <c r="D9" s="2" t="s">
        <v>53</v>
      </c>
    </row>
    <row r="11" spans="1:9" x14ac:dyDescent="0.3">
      <c r="A11" t="s">
        <v>100</v>
      </c>
      <c r="B11" s="1">
        <v>16</v>
      </c>
      <c r="C11" t="s">
        <v>101</v>
      </c>
      <c r="D11" s="2" t="s">
        <v>102</v>
      </c>
    </row>
  </sheetData>
  <phoneticPr fontId="4" type="noConversion"/>
  <hyperlinks>
    <hyperlink ref="D2" r:id="rId1" xr:uid="{5FBFD50E-C55D-4976-8D34-5EA624B791B9}"/>
    <hyperlink ref="D3" r:id="rId2" xr:uid="{2C1C5480-5282-4FCC-A4FD-5F0FBF94B923}"/>
    <hyperlink ref="D6" r:id="rId3" xr:uid="{E7D0E416-E90C-49C6-B8AF-4E88B272D77E}"/>
    <hyperlink ref="D7" r:id="rId4" xr:uid="{CAFE49B4-12F6-44C7-B726-B04BE5566433}"/>
    <hyperlink ref="D8" r:id="rId5" xr:uid="{2EFDFFD2-9C5D-4E8E-9107-668CD99CC679}"/>
    <hyperlink ref="D9" r:id="rId6" xr:uid="{F2FC5064-428A-465B-AE37-AF5081F4B0EA}"/>
    <hyperlink ref="D4" r:id="rId7" xr:uid="{C558C190-93E6-48AB-83CC-DD3665144A85}"/>
    <hyperlink ref="D11" r:id="rId8" xr:uid="{9DAA9384-F542-4CE2-8710-253C95CB207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D6" sqref="D6"/>
    </sheetView>
  </sheetViews>
  <sheetFormatPr defaultRowHeight="14.4" x14ac:dyDescent="0.3"/>
  <cols>
    <col min="1" max="1" width="19.77734375" customWidth="1"/>
    <col min="2" max="2" width="12.77734375" customWidth="1"/>
    <col min="3" max="3" width="9" customWidth="1"/>
    <col min="4" max="4" width="21.5546875" bestFit="1" customWidth="1"/>
  </cols>
  <sheetData>
    <row r="1" spans="1:7" x14ac:dyDescent="0.3">
      <c r="A1" s="3" t="s">
        <v>7</v>
      </c>
      <c r="B1" s="4" t="s">
        <v>8</v>
      </c>
      <c r="C1" s="3" t="s">
        <v>9</v>
      </c>
      <c r="D1" s="3" t="s">
        <v>11</v>
      </c>
      <c r="E1" s="3" t="s">
        <v>2</v>
      </c>
    </row>
    <row r="2" spans="1:7" x14ac:dyDescent="0.3">
      <c r="A2" t="s">
        <v>12</v>
      </c>
      <c r="B2" s="1">
        <v>28.9</v>
      </c>
      <c r="C2" t="s">
        <v>10</v>
      </c>
      <c r="D2" s="2" t="s">
        <v>82</v>
      </c>
      <c r="E2" t="s">
        <v>83</v>
      </c>
      <c r="G2" t="s">
        <v>86</v>
      </c>
    </row>
    <row r="3" spans="1:7" x14ac:dyDescent="0.3">
      <c r="A3" t="s">
        <v>79</v>
      </c>
      <c r="B3" s="1">
        <v>15.95</v>
      </c>
      <c r="D3" s="2" t="s">
        <v>80</v>
      </c>
      <c r="E3" t="s">
        <v>81</v>
      </c>
      <c r="G3" t="s">
        <v>86</v>
      </c>
    </row>
    <row r="4" spans="1:7" x14ac:dyDescent="0.3">
      <c r="A4" t="s">
        <v>18</v>
      </c>
      <c r="B4" s="1">
        <f>9*10</f>
        <v>90</v>
      </c>
      <c r="C4" t="s">
        <v>10</v>
      </c>
      <c r="D4" s="2" t="s">
        <v>84</v>
      </c>
      <c r="E4" t="s">
        <v>85</v>
      </c>
      <c r="G4" t="s">
        <v>86</v>
      </c>
    </row>
    <row r="5" spans="1:7" x14ac:dyDescent="0.3">
      <c r="A5" t="s">
        <v>72</v>
      </c>
      <c r="B5" s="1">
        <v>14.89</v>
      </c>
      <c r="C5" t="s">
        <v>75</v>
      </c>
      <c r="D5" s="2" t="s">
        <v>73</v>
      </c>
      <c r="E5" t="s">
        <v>74</v>
      </c>
    </row>
    <row r="6" spans="1:7" x14ac:dyDescent="0.3">
      <c r="A6" t="s">
        <v>87</v>
      </c>
      <c r="B6" s="1">
        <v>23.74</v>
      </c>
      <c r="D6" s="2" t="s">
        <v>88</v>
      </c>
      <c r="E6" t="s">
        <v>89</v>
      </c>
      <c r="G6" t="s">
        <v>86</v>
      </c>
    </row>
    <row r="7" spans="1:7" x14ac:dyDescent="0.3">
      <c r="A7" t="s">
        <v>120</v>
      </c>
      <c r="B7" s="1">
        <v>10</v>
      </c>
      <c r="C7" t="s">
        <v>121</v>
      </c>
      <c r="D7" s="2" t="s">
        <v>122</v>
      </c>
    </row>
  </sheetData>
  <hyperlinks>
    <hyperlink ref="D2" r:id="rId1" xr:uid="{9B228068-BBE8-4DBD-B346-6EAECE700394}"/>
    <hyperlink ref="D5" r:id="rId2" xr:uid="{A9BF67F8-98BD-431C-AF58-F1F9363263B8}"/>
    <hyperlink ref="D6" r:id="rId3" xr:uid="{8551C5ED-1223-4F91-9442-DAB697573040}"/>
    <hyperlink ref="D3" r:id="rId4" xr:uid="{BB499516-DBFF-475D-BE48-B47FB98B49D7}"/>
    <hyperlink ref="D4" r:id="rId5" xr:uid="{14A4F246-266E-4084-ABBE-339E08DB403F}"/>
    <hyperlink ref="D7" r:id="rId6" xr:uid="{C683EBC5-8FD2-4049-BF0D-6B1B6FC5C23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2D48-850A-4162-ACBF-29F3DB26ECD8}">
  <dimension ref="A1:G8"/>
  <sheetViews>
    <sheetView workbookViewId="0">
      <selection activeCell="E19" sqref="E19"/>
    </sheetView>
  </sheetViews>
  <sheetFormatPr defaultRowHeight="14.4" x14ac:dyDescent="0.3"/>
  <cols>
    <col min="1" max="1" width="18" bestFit="1" customWidth="1"/>
    <col min="2" max="2" width="6.21875" style="7" customWidth="1"/>
    <col min="3" max="3" width="11.109375" style="9" customWidth="1"/>
    <col min="4" max="4" width="13.44140625" style="1" customWidth="1"/>
    <col min="5" max="5" width="11" bestFit="1" customWidth="1"/>
    <col min="6" max="6" width="53.33203125" bestFit="1" customWidth="1"/>
  </cols>
  <sheetData>
    <row r="1" spans="1:7" x14ac:dyDescent="0.3">
      <c r="A1" s="3" t="s">
        <v>7</v>
      </c>
      <c r="B1" s="6" t="s">
        <v>21</v>
      </c>
      <c r="C1" s="8" t="s">
        <v>8</v>
      </c>
      <c r="D1" s="4" t="s">
        <v>23</v>
      </c>
      <c r="E1" s="3" t="s">
        <v>9</v>
      </c>
      <c r="F1" s="3" t="s">
        <v>11</v>
      </c>
      <c r="G1" s="3" t="s">
        <v>2</v>
      </c>
    </row>
    <row r="2" spans="1:7" x14ac:dyDescent="0.3">
      <c r="A2" t="s">
        <v>90</v>
      </c>
      <c r="B2" s="7">
        <v>4</v>
      </c>
      <c r="C2" s="9">
        <v>300</v>
      </c>
      <c r="D2" s="1">
        <f>B2*C2</f>
        <v>1200</v>
      </c>
      <c r="E2" t="s">
        <v>22</v>
      </c>
      <c r="F2" s="2" t="s">
        <v>20</v>
      </c>
    </row>
    <row r="3" spans="1:7" x14ac:dyDescent="0.3">
      <c r="A3" t="s">
        <v>24</v>
      </c>
      <c r="B3" s="7">
        <v>4</v>
      </c>
      <c r="C3" s="9">
        <v>11</v>
      </c>
      <c r="D3" s="1">
        <f>B3*C3</f>
        <v>44</v>
      </c>
      <c r="E3" t="s">
        <v>25</v>
      </c>
      <c r="F3" s="2" t="s">
        <v>26</v>
      </c>
    </row>
    <row r="4" spans="1:7" x14ac:dyDescent="0.3">
      <c r="A4" t="s">
        <v>32</v>
      </c>
      <c r="B4" s="7">
        <v>4</v>
      </c>
      <c r="C4" s="9">
        <v>12</v>
      </c>
      <c r="D4" s="1">
        <v>12</v>
      </c>
      <c r="F4" s="2" t="s">
        <v>33</v>
      </c>
      <c r="G4" t="s">
        <v>91</v>
      </c>
    </row>
    <row r="5" spans="1:7" x14ac:dyDescent="0.3">
      <c r="A5" t="s">
        <v>34</v>
      </c>
      <c r="B5" s="7">
        <v>4</v>
      </c>
      <c r="C5" s="9">
        <v>12</v>
      </c>
      <c r="D5" s="1">
        <f>B5*C5</f>
        <v>48</v>
      </c>
      <c r="F5" s="2" t="s">
        <v>35</v>
      </c>
    </row>
    <row r="6" spans="1:7" x14ac:dyDescent="0.3">
      <c r="F6" s="2"/>
    </row>
    <row r="7" spans="1:7" x14ac:dyDescent="0.3">
      <c r="A7" t="s">
        <v>76</v>
      </c>
      <c r="B7" s="7">
        <v>4</v>
      </c>
      <c r="C7" s="9">
        <v>219</v>
      </c>
      <c r="D7" s="1">
        <f>B7*C7</f>
        <v>876</v>
      </c>
      <c r="F7" s="2" t="s">
        <v>77</v>
      </c>
      <c r="G7" t="s">
        <v>78</v>
      </c>
    </row>
    <row r="8" spans="1:7" x14ac:dyDescent="0.3">
      <c r="A8" t="s">
        <v>70</v>
      </c>
      <c r="B8" s="7">
        <v>4</v>
      </c>
      <c r="C8" s="9">
        <v>37</v>
      </c>
      <c r="D8" s="1">
        <f>B8*C8</f>
        <v>148</v>
      </c>
      <c r="F8" s="2" t="s">
        <v>71</v>
      </c>
    </row>
  </sheetData>
  <hyperlinks>
    <hyperlink ref="F2" r:id="rId1" xr:uid="{94F1D66C-7506-45AE-A426-97048E2A395E}"/>
    <hyperlink ref="F3" r:id="rId2" xr:uid="{FD3CF265-BEB7-4755-A9CD-8B2069D461E1}"/>
    <hyperlink ref="F4" r:id="rId3" xr:uid="{FB90CB56-6C67-4FF0-951F-B518A3CE6943}"/>
    <hyperlink ref="F5" r:id="rId4" xr:uid="{04DB67B0-DC4A-46C5-92BA-FDBE1BACB737}"/>
    <hyperlink ref="F8" r:id="rId5" xr:uid="{5FD58811-755F-E343-B32C-857AAADE14F4}"/>
    <hyperlink ref="F7" r:id="rId6" xr:uid="{C564DCDA-376C-4B84-A8EB-7377DE0D9BCD}"/>
  </hyperlinks>
  <pageMargins left="0.7" right="0.7" top="0.75" bottom="0.75" header="0.3" footer="0.3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 Analysis</vt:lpstr>
      <vt:lpstr>Hub General</vt:lpstr>
      <vt:lpstr>VerticalForaging</vt:lpstr>
      <vt:lpstr>piHat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Kachhadiya</dc:creator>
  <cp:lastModifiedBy>Jemin Kachhadiya</cp:lastModifiedBy>
  <dcterms:created xsi:type="dcterms:W3CDTF">2015-06-05T18:17:20Z</dcterms:created>
  <dcterms:modified xsi:type="dcterms:W3CDTF">2026-09-15T14:56:01Z</dcterms:modified>
</cp:coreProperties>
</file>