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urotechHub\Programming\SpatialForagingPlatform-ProjectManager\bom\"/>
    </mc:Choice>
  </mc:AlternateContent>
  <xr:revisionPtr revIDLastSave="0" documentId="13_ncr:1_{5371B4B6-A8E3-A240-8E89-E2ED1B89B8BC}" xr6:coauthVersionLast="47" xr6:coauthVersionMax="47" xr10:uidLastSave="{00000000-0000-0000-0000-000000000000}"/>
  <bookViews>
    <workbookView xWindow="-108" yWindow="-108" windowWidth="23256" windowHeight="13896" xr2:uid="{18EBE842-4B11-444E-A9D9-2818638CA39F}"/>
  </bookViews>
  <sheets>
    <sheet name="Hardware" sheetId="1" r:id="rId1"/>
    <sheet name="Electronic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" i="2" l="1"/>
  <c r="F14" i="2" s="1"/>
  <c r="D13" i="2"/>
  <c r="F13" i="2" s="1"/>
  <c r="D12" i="2"/>
  <c r="F12" i="2" s="1"/>
  <c r="D11" i="2"/>
  <c r="F11" i="2" s="1"/>
  <c r="F7" i="2"/>
  <c r="F6" i="2"/>
  <c r="F4" i="2"/>
  <c r="E14" i="1" l="1"/>
  <c r="F14" i="1"/>
  <c r="H14" i="1" s="1"/>
  <c r="E13" i="1"/>
  <c r="F13" i="1"/>
  <c r="H13" i="1" s="1"/>
  <c r="I13" i="1" s="1"/>
  <c r="E5" i="1"/>
  <c r="E6" i="1"/>
  <c r="E7" i="1"/>
  <c r="E8" i="1"/>
  <c r="E9" i="1"/>
  <c r="E10" i="1"/>
  <c r="E11" i="1"/>
  <c r="E12" i="1"/>
  <c r="E4" i="1"/>
  <c r="F4" i="1" s="1"/>
  <c r="H4" i="1" s="1"/>
  <c r="I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I10" i="1" l="1"/>
  <c r="I8" i="1"/>
  <c r="I7" i="1"/>
  <c r="I6" i="1"/>
  <c r="I12" i="1"/>
  <c r="I11" i="1"/>
  <c r="I9" i="1"/>
  <c r="I5" i="1"/>
  <c r="H16" i="1"/>
  <c r="H17" i="1" s="1"/>
  <c r="I14" i="1"/>
</calcChain>
</file>

<file path=xl/sharedStrings.xml><?xml version="1.0" encoding="utf-8"?>
<sst xmlns="http://schemas.openxmlformats.org/spreadsheetml/2006/main" count="85" uniqueCount="75">
  <si>
    <t>Item</t>
  </si>
  <si>
    <t>Item Pcs</t>
  </si>
  <si>
    <t>Pcs/Module</t>
  </si>
  <si>
    <t>Modules</t>
  </si>
  <si>
    <t>Req Items</t>
  </si>
  <si>
    <t>Link</t>
  </si>
  <si>
    <t>Item Cost</t>
  </si>
  <si>
    <t>Total Cost</t>
  </si>
  <si>
    <t>Notes</t>
  </si>
  <si>
    <t>1.5 × 4.7625 mm tapping</t>
  </si>
  <si>
    <t>99512A108</t>
  </si>
  <si>
    <t>M3 × 6 countersunk</t>
  </si>
  <si>
    <t>92125A126</t>
  </si>
  <si>
    <t>M2 × 10 countersunk</t>
  </si>
  <si>
    <t>92125A056</t>
  </si>
  <si>
    <t>M3 × 10 countersunk</t>
  </si>
  <si>
    <t>92125A130</t>
  </si>
  <si>
    <t>M2.5 × 4 set screw</t>
  </si>
  <si>
    <t>92015A095</t>
  </si>
  <si>
    <t>M2 × 20 countersunk</t>
  </si>
  <si>
    <t>Part Number</t>
  </si>
  <si>
    <t>94500A265</t>
  </si>
  <si>
    <t>M3 × 16 button head</t>
  </si>
  <si>
    <t>https://www.mcmaster.com/94500A265/</t>
  </si>
  <si>
    <t>https://www.mcmaster.com/92125A051/</t>
  </si>
  <si>
    <t>https://www.mcmaster.com/99512A108/</t>
  </si>
  <si>
    <t>https://www.mcmaster.com/92125A126/</t>
  </si>
  <si>
    <t>https://www.mcmaster.com/92125A056/</t>
  </si>
  <si>
    <t>https://www.mcmaster.com/92125A130/</t>
  </si>
  <si>
    <t>https://www.mcmaster.com/92015A095/</t>
  </si>
  <si>
    <t>92125A611</t>
  </si>
  <si>
    <t>https://www.mcmaster.com/92125A611/</t>
  </si>
  <si>
    <t>Total Pcs</t>
  </si>
  <si>
    <t>Mini Spring</t>
  </si>
  <si>
    <t>9433K256</t>
  </si>
  <si>
    <t>https://www.mcmaster.com/9433K256/</t>
  </si>
  <si>
    <t>total</t>
  </si>
  <si>
    <t>total/module</t>
  </si>
  <si>
    <t>M2 × 5 countersunk</t>
  </si>
  <si>
    <t>User acrylic mount</t>
  </si>
  <si>
    <t>Beam break mounts, etc.</t>
  </si>
  <si>
    <t>Motor mounts</t>
  </si>
  <si>
    <t>Brackets</t>
  </si>
  <si>
    <t>Clamshell</t>
  </si>
  <si>
    <t>Spring mount</t>
  </si>
  <si>
    <t>Brackets, top plate</t>
  </si>
  <si>
    <t>Motors</t>
  </si>
  <si>
    <t>Electronics</t>
  </si>
  <si>
    <t>M2 x 5mm Standoff</t>
  </si>
  <si>
    <t>https://a.co/d/0c5kMODr</t>
  </si>
  <si>
    <t>(Cost/Pc)</t>
  </si>
  <si>
    <t>Rpi kit</t>
  </si>
  <si>
    <t>https://a.co/d/0coOI5yY</t>
  </si>
  <si>
    <t>Keyboard &amp; Mouse</t>
  </si>
  <si>
    <t>https://a.co/d/04KC8G9F</t>
  </si>
  <si>
    <t>Req. Items</t>
  </si>
  <si>
    <t>Headers 8.5mm</t>
  </si>
  <si>
    <t>https://a.co/d/0ez4Hsjl</t>
  </si>
  <si>
    <t>20mm standoff</t>
  </si>
  <si>
    <t>https://a.co/d/0bluxMO1</t>
  </si>
  <si>
    <t>Ethernet cable</t>
  </si>
  <si>
    <t>DC Power cable</t>
  </si>
  <si>
    <t>28BYJ-48 Motors</t>
  </si>
  <si>
    <t>https://a.co/d/0dLrfPuQ</t>
  </si>
  <si>
    <t>Power Supply</t>
  </si>
  <si>
    <t>https://a.co/d/0hV6RBvV</t>
  </si>
  <si>
    <t>QT cables 200mm</t>
  </si>
  <si>
    <t>https://www.digikey.com/en/products/detail/adafruit-industries-llc/4401/10824265</t>
  </si>
  <si>
    <t>M2.5 screws</t>
  </si>
  <si>
    <t>https://a.co/d/0eXXSgv0</t>
  </si>
  <si>
    <t>Monitor</t>
  </si>
  <si>
    <t>https://a.co/d/09T69M0k</t>
  </si>
  <si>
    <t>M4 × 3 button head screw</t>
  </si>
  <si>
    <t>https://a.co/d/08jMKRfI</t>
  </si>
  <si>
    <t>92125A051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</si>
</sst>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44" fontId="0" fillId="0" borderId="0" xfId="1" applyFont="1"/>
    <xf numFmtId="44" fontId="2" fillId="0" borderId="0" xfId="1" applyFont="1"/>
    <xf numFmtId="44" fontId="0" fillId="0" borderId="0" xfId="0" applyNumberFormat="1"/>
    <xf numFmtId="44" fontId="3" fillId="0" borderId="0" xfId="1" applyFont="1"/>
    <xf numFmtId="0" fontId="0" fillId="2" borderId="0" xfId="0" applyFill="1"/>
    <xf numFmtId="0" fontId="2" fillId="2" borderId="0" xfId="0" applyFont="1" applyFill="1"/>
    <xf numFmtId="0" fontId="4" fillId="0" borderId="0" xfId="0" applyFont="1"/>
    <xf numFmtId="44" fontId="4" fillId="0" borderId="0" xfId="1" applyFont="1" applyAlignment="1">
      <alignment horizontal="center"/>
    </xf>
    <xf numFmtId="44" fontId="4" fillId="0" borderId="0" xfId="1" applyFont="1"/>
    <xf numFmtId="0" fontId="5" fillId="0" borderId="0" xfId="2"/>
    <xf numFmtId="0" fontId="0" fillId="0" borderId="0" xfId="1" applyNumberFormat="1" applyFont="1"/>
    <xf numFmtId="0" fontId="0" fillId="2" borderId="0" xfId="1" applyNumberFormat="1" applyFont="1" applyFill="1"/>
    <xf numFmtId="0" fontId="4" fillId="2" borderId="0" xfId="0" applyFont="1" applyFill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.co/d/0eXXSgv0" TargetMode="External"/><Relationship Id="rId3" Type="http://schemas.openxmlformats.org/officeDocument/2006/relationships/hyperlink" Target="https://a.co/d/0ez4Hsjl" TargetMode="External"/><Relationship Id="rId7" Type="http://schemas.openxmlformats.org/officeDocument/2006/relationships/hyperlink" Target="https://www.digikey.com/en/products/detail/adafruit-industries-llc/4401/10824265" TargetMode="External"/><Relationship Id="rId2" Type="http://schemas.openxmlformats.org/officeDocument/2006/relationships/hyperlink" Target="https://a.co/d/04KC8G9F" TargetMode="External"/><Relationship Id="rId1" Type="http://schemas.openxmlformats.org/officeDocument/2006/relationships/hyperlink" Target="https://a.co/d/0coOI5yY" TargetMode="External"/><Relationship Id="rId6" Type="http://schemas.openxmlformats.org/officeDocument/2006/relationships/hyperlink" Target="https://a.co/d/0hV6RBvV" TargetMode="External"/><Relationship Id="rId5" Type="http://schemas.openxmlformats.org/officeDocument/2006/relationships/hyperlink" Target="https://a.co/d/0dLrfPuQ" TargetMode="External"/><Relationship Id="rId4" Type="http://schemas.openxmlformats.org/officeDocument/2006/relationships/hyperlink" Target="https://a.co/d/0bluxMO1" TargetMode="External"/><Relationship Id="rId9" Type="http://schemas.openxmlformats.org/officeDocument/2006/relationships/hyperlink" Target="https://a.co/d/09T69M0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52AF-D934-5E4D-A590-21C8983DA813}">
  <dimension ref="A1:K17"/>
  <sheetViews>
    <sheetView tabSelected="1" workbookViewId="0">
      <selection activeCell="B20" sqref="B20"/>
    </sheetView>
  </sheetViews>
  <sheetFormatPr defaultColWidth="11.19921875" defaultRowHeight="15.6" x14ac:dyDescent="0.3"/>
  <cols>
    <col min="1" max="1" width="24" customWidth="1"/>
    <col min="2" max="2" width="11.69921875" bestFit="1" customWidth="1"/>
    <col min="6" max="6" width="10.796875" style="6"/>
    <col min="7" max="7" width="13.296875" style="2" bestFit="1" customWidth="1"/>
    <col min="10" max="10" width="59.296875" customWidth="1"/>
    <col min="11" max="11" width="38.796875" customWidth="1"/>
  </cols>
  <sheetData>
    <row r="1" spans="1:11" x14ac:dyDescent="0.3">
      <c r="A1" s="1" t="s">
        <v>3</v>
      </c>
      <c r="B1" s="1"/>
      <c r="C1" s="1">
        <v>16</v>
      </c>
    </row>
    <row r="3" spans="1:11" s="1" customFormat="1" x14ac:dyDescent="0.3">
      <c r="A3" s="1" t="s">
        <v>0</v>
      </c>
      <c r="B3" s="1" t="s">
        <v>20</v>
      </c>
      <c r="C3" s="1" t="s">
        <v>1</v>
      </c>
      <c r="D3" s="1" t="s">
        <v>2</v>
      </c>
      <c r="E3" s="1" t="s">
        <v>32</v>
      </c>
      <c r="F3" s="7" t="s">
        <v>4</v>
      </c>
      <c r="G3" s="3" t="s">
        <v>6</v>
      </c>
      <c r="H3" s="1" t="s">
        <v>7</v>
      </c>
      <c r="I3" s="1" t="s">
        <v>50</v>
      </c>
      <c r="J3" s="1" t="s">
        <v>5</v>
      </c>
      <c r="K3" s="1" t="s">
        <v>8</v>
      </c>
    </row>
    <row r="4" spans="1:11" x14ac:dyDescent="0.3">
      <c r="A4" t="s">
        <v>22</v>
      </c>
      <c r="B4" t="s">
        <v>21</v>
      </c>
      <c r="C4">
        <v>100</v>
      </c>
      <c r="D4">
        <v>4</v>
      </c>
      <c r="E4">
        <f>D4*$C$1</f>
        <v>64</v>
      </c>
      <c r="F4" s="6">
        <f>_xlfn.CEILING.MATH((E4)/C4)</f>
        <v>1</v>
      </c>
      <c r="G4" s="2">
        <v>9.8699999999999992</v>
      </c>
      <c r="H4" s="4">
        <f>F4*G4</f>
        <v>9.8699999999999992</v>
      </c>
      <c r="I4" s="4">
        <f>H4/E4</f>
        <v>0.15421874999999999</v>
      </c>
      <c r="J4" t="s">
        <v>23</v>
      </c>
      <c r="K4" t="s">
        <v>39</v>
      </c>
    </row>
    <row r="5" spans="1:11" x14ac:dyDescent="0.3">
      <c r="A5" t="s">
        <v>38</v>
      </c>
      <c r="B5" t="s">
        <v>74</v>
      </c>
      <c r="C5">
        <v>50</v>
      </c>
      <c r="D5">
        <v>8</v>
      </c>
      <c r="E5">
        <f t="shared" ref="E5:E14" si="0">D5*$C$1</f>
        <v>128</v>
      </c>
      <c r="F5" s="6">
        <f t="shared" ref="F5:F14" si="1">_xlfn.CEILING.MATH((D5*$C$1)/C5)</f>
        <v>3</v>
      </c>
      <c r="G5" s="2">
        <v>8.64</v>
      </c>
      <c r="H5" s="4">
        <f t="shared" ref="H5:H14" si="2">F5*G5</f>
        <v>25.92</v>
      </c>
      <c r="I5" s="4">
        <f t="shared" ref="I5:I14" si="3">H5/E5</f>
        <v>0.20250000000000001</v>
      </c>
      <c r="J5" t="s">
        <v>24</v>
      </c>
      <c r="K5" t="s">
        <v>43</v>
      </c>
    </row>
    <row r="6" spans="1:11" x14ac:dyDescent="0.3">
      <c r="A6" t="s">
        <v>9</v>
      </c>
      <c r="B6" t="s">
        <v>10</v>
      </c>
      <c r="C6">
        <v>50</v>
      </c>
      <c r="D6">
        <v>12</v>
      </c>
      <c r="E6">
        <f t="shared" si="0"/>
        <v>192</v>
      </c>
      <c r="F6" s="6">
        <f t="shared" si="1"/>
        <v>4</v>
      </c>
      <c r="G6" s="2">
        <v>12.53</v>
      </c>
      <c r="H6" s="4">
        <f t="shared" si="2"/>
        <v>50.12</v>
      </c>
      <c r="I6" s="4">
        <f t="shared" si="3"/>
        <v>0.26104166666666667</v>
      </c>
      <c r="J6" t="s">
        <v>25</v>
      </c>
      <c r="K6" t="s">
        <v>40</v>
      </c>
    </row>
    <row r="7" spans="1:11" x14ac:dyDescent="0.3">
      <c r="A7" t="s">
        <v>72</v>
      </c>
      <c r="C7">
        <v>50</v>
      </c>
      <c r="D7">
        <v>4</v>
      </c>
      <c r="E7">
        <f t="shared" si="0"/>
        <v>64</v>
      </c>
      <c r="F7" s="6">
        <f t="shared" si="1"/>
        <v>2</v>
      </c>
      <c r="G7" s="2">
        <v>5.72</v>
      </c>
      <c r="H7" s="4">
        <f t="shared" si="2"/>
        <v>11.44</v>
      </c>
      <c r="I7" s="4">
        <f t="shared" si="3"/>
        <v>0.17874999999999999</v>
      </c>
      <c r="J7" t="s">
        <v>73</v>
      </c>
      <c r="K7" t="s">
        <v>41</v>
      </c>
    </row>
    <row r="8" spans="1:11" x14ac:dyDescent="0.3">
      <c r="A8" t="s">
        <v>11</v>
      </c>
      <c r="B8" t="s">
        <v>12</v>
      </c>
      <c r="C8">
        <v>100</v>
      </c>
      <c r="D8">
        <v>6</v>
      </c>
      <c r="E8">
        <f t="shared" si="0"/>
        <v>96</v>
      </c>
      <c r="F8" s="6">
        <f t="shared" si="1"/>
        <v>1</v>
      </c>
      <c r="G8" s="2">
        <v>7.46</v>
      </c>
      <c r="H8" s="4">
        <f t="shared" si="2"/>
        <v>7.46</v>
      </c>
      <c r="I8" s="4">
        <f t="shared" si="3"/>
        <v>7.7708333333333338E-2</v>
      </c>
      <c r="J8" t="s">
        <v>26</v>
      </c>
      <c r="K8" t="s">
        <v>42</v>
      </c>
    </row>
    <row r="9" spans="1:11" x14ac:dyDescent="0.3">
      <c r="A9" t="s">
        <v>13</v>
      </c>
      <c r="B9" t="s">
        <v>14</v>
      </c>
      <c r="C9">
        <v>25</v>
      </c>
      <c r="D9">
        <v>2</v>
      </c>
      <c r="E9">
        <f t="shared" si="0"/>
        <v>32</v>
      </c>
      <c r="F9" s="6">
        <f t="shared" si="1"/>
        <v>2</v>
      </c>
      <c r="G9" s="2">
        <v>5.2</v>
      </c>
      <c r="H9" s="4">
        <f t="shared" si="2"/>
        <v>10.4</v>
      </c>
      <c r="I9" s="4">
        <f t="shared" si="3"/>
        <v>0.32500000000000001</v>
      </c>
      <c r="J9" t="s">
        <v>27</v>
      </c>
      <c r="K9" t="s">
        <v>44</v>
      </c>
    </row>
    <row r="10" spans="1:11" x14ac:dyDescent="0.3">
      <c r="A10" t="s">
        <v>15</v>
      </c>
      <c r="B10" t="s">
        <v>16</v>
      </c>
      <c r="C10">
        <v>100</v>
      </c>
      <c r="D10">
        <v>16</v>
      </c>
      <c r="E10">
        <f t="shared" si="0"/>
        <v>256</v>
      </c>
      <c r="F10" s="6">
        <f t="shared" si="1"/>
        <v>3</v>
      </c>
      <c r="G10" s="2">
        <v>8.77</v>
      </c>
      <c r="H10" s="4">
        <f t="shared" si="2"/>
        <v>26.31</v>
      </c>
      <c r="I10" s="4">
        <f t="shared" si="3"/>
        <v>0.1027734375</v>
      </c>
      <c r="J10" t="s">
        <v>28</v>
      </c>
      <c r="K10" t="s">
        <v>45</v>
      </c>
    </row>
    <row r="11" spans="1:11" x14ac:dyDescent="0.3">
      <c r="A11" t="s">
        <v>17</v>
      </c>
      <c r="B11" t="s">
        <v>18</v>
      </c>
      <c r="C11">
        <v>50</v>
      </c>
      <c r="D11">
        <v>2</v>
      </c>
      <c r="E11">
        <f t="shared" si="0"/>
        <v>32</v>
      </c>
      <c r="F11" s="6">
        <f t="shared" si="1"/>
        <v>1</v>
      </c>
      <c r="G11" s="2">
        <v>10.44</v>
      </c>
      <c r="H11" s="4">
        <f t="shared" si="2"/>
        <v>10.44</v>
      </c>
      <c r="I11" s="4">
        <f t="shared" si="3"/>
        <v>0.32624999999999998</v>
      </c>
      <c r="J11" t="s">
        <v>29</v>
      </c>
      <c r="K11" t="s">
        <v>46</v>
      </c>
    </row>
    <row r="12" spans="1:11" x14ac:dyDescent="0.3">
      <c r="A12" t="s">
        <v>19</v>
      </c>
      <c r="B12" t="s">
        <v>30</v>
      </c>
      <c r="C12">
        <v>10</v>
      </c>
      <c r="D12">
        <v>2</v>
      </c>
      <c r="E12">
        <f t="shared" si="0"/>
        <v>32</v>
      </c>
      <c r="F12" s="6">
        <f t="shared" si="1"/>
        <v>4</v>
      </c>
      <c r="G12" s="2">
        <v>7</v>
      </c>
      <c r="H12" s="4">
        <f t="shared" si="2"/>
        <v>28</v>
      </c>
      <c r="I12" s="4">
        <f t="shared" si="3"/>
        <v>0.875</v>
      </c>
      <c r="J12" t="s">
        <v>31</v>
      </c>
      <c r="K12" t="s">
        <v>47</v>
      </c>
    </row>
    <row r="13" spans="1:11" x14ac:dyDescent="0.3">
      <c r="A13" t="s">
        <v>33</v>
      </c>
      <c r="B13" t="s">
        <v>34</v>
      </c>
      <c r="C13">
        <v>1</v>
      </c>
      <c r="D13">
        <v>1</v>
      </c>
      <c r="E13">
        <f t="shared" si="0"/>
        <v>16</v>
      </c>
      <c r="F13" s="6">
        <f t="shared" si="1"/>
        <v>16</v>
      </c>
      <c r="G13" s="2">
        <v>4.7</v>
      </c>
      <c r="H13" s="4">
        <f t="shared" si="2"/>
        <v>75.2</v>
      </c>
      <c r="I13" s="4">
        <f t="shared" si="3"/>
        <v>4.7</v>
      </c>
      <c r="J13" t="s">
        <v>35</v>
      </c>
      <c r="K13" t="s">
        <v>43</v>
      </c>
    </row>
    <row r="14" spans="1:11" x14ac:dyDescent="0.3">
      <c r="A14" t="s">
        <v>48</v>
      </c>
      <c r="C14">
        <v>50</v>
      </c>
      <c r="D14">
        <v>4</v>
      </c>
      <c r="E14">
        <f t="shared" si="0"/>
        <v>64</v>
      </c>
      <c r="F14" s="6">
        <f t="shared" si="1"/>
        <v>2</v>
      </c>
      <c r="G14" s="2">
        <v>9.4</v>
      </c>
      <c r="H14" s="4">
        <f t="shared" si="2"/>
        <v>18.8</v>
      </c>
      <c r="I14" s="4">
        <f t="shared" si="3"/>
        <v>0.29375000000000001</v>
      </c>
      <c r="J14" t="s">
        <v>49</v>
      </c>
      <c r="K14" t="s">
        <v>47</v>
      </c>
    </row>
    <row r="16" spans="1:11" x14ac:dyDescent="0.3">
      <c r="G16" s="5" t="s">
        <v>36</v>
      </c>
      <c r="H16" s="4">
        <f>SUM(H4:H14)</f>
        <v>273.95999999999998</v>
      </c>
    </row>
    <row r="17" spans="7:8" x14ac:dyDescent="0.3">
      <c r="G17" s="5" t="s">
        <v>37</v>
      </c>
      <c r="H17" s="4">
        <f>H16/C1</f>
        <v>17.122499999999999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2C5A5-03CA-4DB8-9D15-15879A9BBD02}">
  <dimension ref="A1:H14"/>
  <sheetViews>
    <sheetView workbookViewId="0">
      <selection activeCell="H24" sqref="H24"/>
    </sheetView>
  </sheetViews>
  <sheetFormatPr defaultColWidth="8.796875" defaultRowHeight="15.6" x14ac:dyDescent="0.3"/>
  <cols>
    <col min="1" max="1" width="15.69921875" bestFit="1" customWidth="1"/>
    <col min="2" max="2" width="10.796875" bestFit="1" customWidth="1"/>
    <col min="3" max="3" width="8.796875" style="2"/>
    <col min="4" max="4" width="8.796875" style="12"/>
    <col min="5" max="5" width="9.296875" style="13" bestFit="1" customWidth="1"/>
    <col min="6" max="6" width="14.19921875" style="2" customWidth="1"/>
    <col min="7" max="7" width="26.796875" customWidth="1"/>
    <col min="8" max="8" width="18.69921875" customWidth="1"/>
  </cols>
  <sheetData>
    <row r="1" spans="1:8" x14ac:dyDescent="0.3">
      <c r="A1" s="1" t="s">
        <v>3</v>
      </c>
      <c r="B1" s="1">
        <v>16</v>
      </c>
      <c r="D1" s="1"/>
      <c r="E1" s="7"/>
    </row>
    <row r="2" spans="1:8" s="1" customFormat="1" x14ac:dyDescent="0.3">
      <c r="A2"/>
      <c r="B2"/>
      <c r="C2" s="2"/>
      <c r="D2" s="12"/>
      <c r="E2" s="13"/>
      <c r="F2" s="3"/>
    </row>
    <row r="3" spans="1:8" x14ac:dyDescent="0.3">
      <c r="A3" s="8" t="s">
        <v>0</v>
      </c>
      <c r="B3" s="8" t="s">
        <v>2</v>
      </c>
      <c r="C3" s="9" t="s">
        <v>6</v>
      </c>
      <c r="D3" s="8" t="s">
        <v>32</v>
      </c>
      <c r="E3" s="14" t="s">
        <v>55</v>
      </c>
      <c r="F3" s="10" t="s">
        <v>7</v>
      </c>
      <c r="G3" s="8" t="s">
        <v>5</v>
      </c>
      <c r="H3" s="8" t="s">
        <v>8</v>
      </c>
    </row>
    <row r="4" spans="1:8" x14ac:dyDescent="0.3">
      <c r="A4" t="s">
        <v>51</v>
      </c>
      <c r="B4">
        <v>1</v>
      </c>
      <c r="C4" s="2">
        <v>219</v>
      </c>
      <c r="D4" s="12">
        <v>1</v>
      </c>
      <c r="E4" s="13">
        <v>0</v>
      </c>
      <c r="F4" s="2">
        <f>C4*D4</f>
        <v>219</v>
      </c>
      <c r="G4" s="11" t="s">
        <v>52</v>
      </c>
    </row>
    <row r="5" spans="1:8" x14ac:dyDescent="0.3">
      <c r="A5" t="s">
        <v>70</v>
      </c>
      <c r="B5">
        <v>1</v>
      </c>
      <c r="C5" s="2">
        <v>39</v>
      </c>
      <c r="D5" s="12">
        <v>1</v>
      </c>
      <c r="E5" s="13">
        <v>1</v>
      </c>
      <c r="F5" s="2">
        <v>39</v>
      </c>
      <c r="G5" s="11" t="s">
        <v>71</v>
      </c>
    </row>
    <row r="6" spans="1:8" x14ac:dyDescent="0.3">
      <c r="A6" t="s">
        <v>53</v>
      </c>
      <c r="B6">
        <v>1</v>
      </c>
      <c r="C6" s="2">
        <v>39</v>
      </c>
      <c r="D6" s="12">
        <v>1</v>
      </c>
      <c r="E6" s="13">
        <v>1</v>
      </c>
      <c r="F6" s="2">
        <f>C6*D6</f>
        <v>39</v>
      </c>
      <c r="G6" s="11" t="s">
        <v>54</v>
      </c>
    </row>
    <row r="7" spans="1:8" x14ac:dyDescent="0.3">
      <c r="A7" t="s">
        <v>56</v>
      </c>
      <c r="B7">
        <v>1</v>
      </c>
      <c r="C7" s="2">
        <v>7</v>
      </c>
      <c r="D7" s="12">
        <v>1</v>
      </c>
      <c r="E7" s="13">
        <v>0</v>
      </c>
      <c r="F7" s="2">
        <f>C7*D7</f>
        <v>7</v>
      </c>
      <c r="G7" s="11" t="s">
        <v>57</v>
      </c>
    </row>
    <row r="8" spans="1:8" x14ac:dyDescent="0.3">
      <c r="A8" t="s">
        <v>58</v>
      </c>
      <c r="B8">
        <v>4</v>
      </c>
      <c r="C8" s="2">
        <v>9</v>
      </c>
      <c r="D8" s="12">
        <v>4</v>
      </c>
      <c r="E8" s="13">
        <v>0</v>
      </c>
      <c r="F8" s="2">
        <v>9</v>
      </c>
      <c r="G8" s="11" t="s">
        <v>59</v>
      </c>
    </row>
    <row r="9" spans="1:8" x14ac:dyDescent="0.3">
      <c r="A9" t="s">
        <v>68</v>
      </c>
      <c r="B9">
        <v>4</v>
      </c>
      <c r="C9" s="2">
        <v>6</v>
      </c>
      <c r="D9" s="12">
        <v>4</v>
      </c>
      <c r="E9" s="13">
        <v>1</v>
      </c>
      <c r="F9" s="2">
        <v>6</v>
      </c>
      <c r="G9" s="11" t="s">
        <v>69</v>
      </c>
    </row>
    <row r="10" spans="1:8" x14ac:dyDescent="0.3">
      <c r="A10" t="s">
        <v>64</v>
      </c>
      <c r="B10">
        <v>1</v>
      </c>
      <c r="C10" s="2">
        <v>25</v>
      </c>
      <c r="D10" s="12">
        <v>1</v>
      </c>
      <c r="E10" s="13">
        <v>0</v>
      </c>
      <c r="F10" s="2">
        <v>25</v>
      </c>
      <c r="G10" s="11" t="s">
        <v>65</v>
      </c>
    </row>
    <row r="11" spans="1:8" x14ac:dyDescent="0.3">
      <c r="A11" t="s">
        <v>60</v>
      </c>
      <c r="B11">
        <v>2</v>
      </c>
      <c r="C11" s="2">
        <v>5</v>
      </c>
      <c r="D11" s="12">
        <f>B11*B$1</f>
        <v>32</v>
      </c>
      <c r="E11" s="13">
        <v>0</v>
      </c>
      <c r="F11" s="2">
        <f>C11*D11</f>
        <v>160</v>
      </c>
    </row>
    <row r="12" spans="1:8" x14ac:dyDescent="0.3">
      <c r="A12" t="s">
        <v>61</v>
      </c>
      <c r="B12">
        <v>2</v>
      </c>
      <c r="C12" s="2">
        <v>10</v>
      </c>
      <c r="D12" s="12">
        <f>B12*B$1</f>
        <v>32</v>
      </c>
      <c r="E12" s="13">
        <v>0</v>
      </c>
      <c r="F12" s="2">
        <f>C12*D12</f>
        <v>320</v>
      </c>
    </row>
    <row r="13" spans="1:8" x14ac:dyDescent="0.3">
      <c r="A13" t="s">
        <v>62</v>
      </c>
      <c r="B13">
        <v>2</v>
      </c>
      <c r="C13" s="2">
        <v>6</v>
      </c>
      <c r="D13" s="12">
        <f>B13*B$1</f>
        <v>32</v>
      </c>
      <c r="E13" s="13">
        <v>0</v>
      </c>
      <c r="F13" s="2">
        <f>C13*D13</f>
        <v>192</v>
      </c>
      <c r="G13" s="11" t="s">
        <v>63</v>
      </c>
    </row>
    <row r="14" spans="1:8" x14ac:dyDescent="0.3">
      <c r="A14" t="s">
        <v>66</v>
      </c>
      <c r="B14">
        <v>3</v>
      </c>
      <c r="C14" s="2">
        <v>6</v>
      </c>
      <c r="D14" s="12">
        <f>B14*B$1</f>
        <v>48</v>
      </c>
      <c r="E14" s="13">
        <v>0</v>
      </c>
      <c r="F14" s="2">
        <f>C14*D14</f>
        <v>288</v>
      </c>
      <c r="G14" s="11" t="s">
        <v>67</v>
      </c>
    </row>
  </sheetData>
  <hyperlinks>
    <hyperlink ref="G4" r:id="rId1" xr:uid="{A29BB3D4-2B55-493A-9A14-782DA745B2D2}"/>
    <hyperlink ref="G6" r:id="rId2" xr:uid="{140BE8E7-9276-4E09-AA0C-5C2546A0C34D}"/>
    <hyperlink ref="G7" r:id="rId3" xr:uid="{FD07F96D-6BED-41D9-98C4-4ACB0221779F}"/>
    <hyperlink ref="G8" r:id="rId4" xr:uid="{4C1A4761-F7F8-4485-8ABB-6B2CE086DE14}"/>
    <hyperlink ref="G13" r:id="rId5" xr:uid="{DBF367EE-CE06-452A-92D9-783D2D7312DA}"/>
    <hyperlink ref="G10" r:id="rId6" xr:uid="{2505CAD8-C26D-45F8-A8AF-75EEFF397939}"/>
    <hyperlink ref="G14" r:id="rId7" xr:uid="{58CB83C6-4509-439E-92CF-04F3514DCA2D}"/>
    <hyperlink ref="G9" r:id="rId8" xr:uid="{DB4142FC-9666-4E1D-861D-07218E12769C}"/>
    <hyperlink ref="G5" r:id="rId9" xr:uid="{42F1FCD5-B2C2-4FB6-851B-B5307ED313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Hardware</vt:lpstr>
      <vt:lpstr>Electronics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Gaidica, Matthew</dc:creator>
  <cp:lastModifiedBy>Jemin Kachhadiya</cp:lastModifiedBy>
  <dcterms:created xsi:type="dcterms:W3CDTF">2026-07-26T12:48:46Z</dcterms:created>
  <dcterms:modified xsi:type="dcterms:W3CDTF">2026-08-06T15:37:21Z</dcterms:modified>
</cp:coreProperties>
</file>